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jignachaudhary/Desktop/PR/Week-4/"/>
    </mc:Choice>
  </mc:AlternateContent>
  <xr:revisionPtr revIDLastSave="0" documentId="13_ncr:1_{F0CE983F-3ABA-2A4F-BEB3-F5BE60DE36D2}" xr6:coauthVersionLast="47" xr6:coauthVersionMax="47" xr10:uidLastSave="{00000000-0000-0000-0000-000000000000}"/>
  <bookViews>
    <workbookView xWindow="0" yWindow="760" windowWidth="34200" windowHeight="2138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6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<sst xmlns="http://schemas.openxmlformats.org/spreadsheetml/2006/main" count="16267" uniqueCount="51">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</sst>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6"/>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0" borderId="0" xfId="0" pivotButton="1" applyFont="1"/>
    <xf numFmtId="0" fontId="19" fillId="0" borderId="0" xfId="0" applyFont="1"/>
    <xf numFmtId="0" fontId="19" fillId="0" borderId="0" xfId="0" applyFont="1" applyAlignment="1">
      <alignment horizontal="left"/>
    </xf>
    <xf numFmtId="165" fontId="19" fillId="0" borderId="0" xfId="0" applyNumberFormat="1" applyFont="1"/>
    <xf numFmtId="0" fontId="0" fillId="0" borderId="0" xfId="0" applyNumberFormat="1"/>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Avg Income</a:t>
            </a:r>
            <a:r>
              <a:rPr lang="en-US" sz="1600" b="1" baseline="0"/>
              <a:t> Per Purchase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Male</c:v>
                </c:pt>
                <c:pt idx="1">
                  <c:v>Female</c:v>
                </c:pt>
              </c:strCache>
            </c:strRef>
          </c:cat>
          <c:val>
            <c:numRef>
              <c:f>'Pivot Table'!$B$3:$B$5</c:f>
              <c:numCache>
                <c:formatCode>"$"#,##0</c:formatCode>
                <c:ptCount val="2"/>
                <c:pt idx="0">
                  <c:v>56208.178438661707</c:v>
                </c:pt>
                <c:pt idx="1">
                  <c:v>53440</c:v>
                </c:pt>
              </c:numCache>
            </c:numRef>
          </c:val>
          <c:extLst>
            <c:ext xmlns:c16="http://schemas.microsoft.com/office/drawing/2014/chart" uri="{C3380CC4-5D6E-409C-BE32-E72D297353CC}">
              <c16:uniqueId val="{00000000-3FF6-6D44-8148-269F09F56B15}"/>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Male</c:v>
                </c:pt>
                <c:pt idx="1">
                  <c:v>Female</c:v>
                </c:pt>
              </c:strCache>
            </c:strRef>
          </c:cat>
          <c:val>
            <c:numRef>
              <c:f>'Pivot Table'!$C$3:$C$5</c:f>
              <c:numCache>
                <c:formatCode>"$"#,##0</c:formatCode>
                <c:ptCount val="2"/>
                <c:pt idx="0">
                  <c:v>60123.966942148763</c:v>
                </c:pt>
                <c:pt idx="1">
                  <c:v>55774.058577405856</c:v>
                </c:pt>
              </c:numCache>
            </c:numRef>
          </c:val>
          <c:extLst>
            <c:ext xmlns:c16="http://schemas.microsoft.com/office/drawing/2014/chart" uri="{C3380CC4-5D6E-409C-BE32-E72D297353CC}">
              <c16:uniqueId val="{00000001-3FF6-6D44-8148-269F09F56B15}"/>
            </c:ext>
          </c:extLst>
        </c:ser>
        <c:dLbls>
          <c:showLegendKey val="0"/>
          <c:showVal val="0"/>
          <c:showCatName val="0"/>
          <c:showSerName val="0"/>
          <c:showPercent val="0"/>
          <c:showBubbleSize val="0"/>
        </c:dLbls>
        <c:gapWidth val="150"/>
        <c:shape val="box"/>
        <c:axId val="400894175"/>
        <c:axId val="400895887"/>
        <c:axId val="400845615"/>
      </c:bar3DChart>
      <c:catAx>
        <c:axId val="40089417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5887"/>
        <c:crosses val="autoZero"/>
        <c:auto val="1"/>
        <c:lblAlgn val="ctr"/>
        <c:lblOffset val="100"/>
        <c:noMultiLvlLbl val="0"/>
      </c:catAx>
      <c:valAx>
        <c:axId val="40089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Income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4175"/>
        <c:crosses val="autoZero"/>
        <c:crossBetween val="between"/>
      </c:valAx>
      <c:serAx>
        <c:axId val="400845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5887"/>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Distance</a:t>
            </a:r>
            <a:r>
              <a:rPr lang="en-US" sz="1600" b="1" baseline="0"/>
              <a:t> Per Customer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8D8-924A-AF02-B6A7719E238F}"/>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8D8-924A-AF02-B6A7719E238F}"/>
            </c:ext>
          </c:extLst>
        </c:ser>
        <c:dLbls>
          <c:showLegendKey val="0"/>
          <c:showVal val="0"/>
          <c:showCatName val="0"/>
          <c:showSerName val="0"/>
          <c:showPercent val="0"/>
          <c:showBubbleSize val="0"/>
        </c:dLbls>
        <c:smooth val="0"/>
        <c:axId val="401496671"/>
        <c:axId val="401449759"/>
      </c:lineChart>
      <c:catAx>
        <c:axId val="40149667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Commute Distance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49759"/>
        <c:crosses val="autoZero"/>
        <c:auto val="1"/>
        <c:lblAlgn val="ctr"/>
        <c:lblOffset val="100"/>
        <c:noMultiLvlLbl val="0"/>
      </c:catAx>
      <c:valAx>
        <c:axId val="40144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9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Customer Age Bracket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BE1B-5846-94A5-F164C475EF66}"/>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BE1B-5846-94A5-F164C475EF66}"/>
            </c:ext>
          </c:extLst>
        </c:ser>
        <c:dLbls>
          <c:showLegendKey val="0"/>
          <c:showVal val="0"/>
          <c:showCatName val="0"/>
          <c:showSerName val="0"/>
          <c:showPercent val="0"/>
          <c:showBubbleSize val="0"/>
        </c:dLbls>
        <c:marker val="1"/>
        <c:smooth val="0"/>
        <c:axId val="1152106944"/>
        <c:axId val="1152153168"/>
      </c:lineChart>
      <c:catAx>
        <c:axId val="115210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Age</a:t>
                </a:r>
                <a:r>
                  <a:rPr lang="en-US" sz="1600" b="1" baseline="0"/>
                  <a:t> Bracket</a:t>
                </a:r>
                <a:endParaRPr lang="en-US" sz="1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53168"/>
        <c:crosses val="autoZero"/>
        <c:auto val="1"/>
        <c:lblAlgn val="ctr"/>
        <c:lblOffset val="100"/>
        <c:noMultiLvlLbl val="0"/>
      </c:catAx>
      <c:valAx>
        <c:axId val="11521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0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Avg Income</a:t>
            </a:r>
            <a:r>
              <a:rPr lang="en-US" sz="1600" b="1" baseline="0"/>
              <a:t> Per Purchase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Male</c:v>
                </c:pt>
                <c:pt idx="1">
                  <c:v>Female</c:v>
                </c:pt>
              </c:strCache>
            </c:strRef>
          </c:cat>
          <c:val>
            <c:numRef>
              <c:f>'Pivot Table'!$B$3:$B$5</c:f>
              <c:numCache>
                <c:formatCode>"$"#,##0</c:formatCode>
                <c:ptCount val="2"/>
                <c:pt idx="0">
                  <c:v>56208.178438661707</c:v>
                </c:pt>
                <c:pt idx="1">
                  <c:v>53440</c:v>
                </c:pt>
              </c:numCache>
            </c:numRef>
          </c:val>
          <c:extLst>
            <c:ext xmlns:c16="http://schemas.microsoft.com/office/drawing/2014/chart" uri="{C3380CC4-5D6E-409C-BE32-E72D297353CC}">
              <c16:uniqueId val="{00000000-6F30-1D4B-84B6-D7BF5303C638}"/>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Male</c:v>
                </c:pt>
                <c:pt idx="1">
                  <c:v>Female</c:v>
                </c:pt>
              </c:strCache>
            </c:strRef>
          </c:cat>
          <c:val>
            <c:numRef>
              <c:f>'Pivot Table'!$C$3:$C$5</c:f>
              <c:numCache>
                <c:formatCode>"$"#,##0</c:formatCode>
                <c:ptCount val="2"/>
                <c:pt idx="0">
                  <c:v>60123.966942148763</c:v>
                </c:pt>
                <c:pt idx="1">
                  <c:v>55774.058577405856</c:v>
                </c:pt>
              </c:numCache>
            </c:numRef>
          </c:val>
          <c:extLst>
            <c:ext xmlns:c16="http://schemas.microsoft.com/office/drawing/2014/chart" uri="{C3380CC4-5D6E-409C-BE32-E72D297353CC}">
              <c16:uniqueId val="{00000001-6F30-1D4B-84B6-D7BF5303C638}"/>
            </c:ext>
          </c:extLst>
        </c:ser>
        <c:dLbls>
          <c:showLegendKey val="0"/>
          <c:showVal val="0"/>
          <c:showCatName val="0"/>
          <c:showSerName val="0"/>
          <c:showPercent val="0"/>
          <c:showBubbleSize val="0"/>
        </c:dLbls>
        <c:gapWidth val="150"/>
        <c:shape val="box"/>
        <c:axId val="400894175"/>
        <c:axId val="400895887"/>
        <c:axId val="400845615"/>
      </c:bar3DChart>
      <c:catAx>
        <c:axId val="40089417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Gender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5887"/>
        <c:crosses val="autoZero"/>
        <c:auto val="1"/>
        <c:lblAlgn val="ctr"/>
        <c:lblOffset val="100"/>
        <c:noMultiLvlLbl val="0"/>
      </c:catAx>
      <c:valAx>
        <c:axId val="400895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Income</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4175"/>
        <c:crosses val="autoZero"/>
        <c:crossBetween val="between"/>
      </c:valAx>
      <c:serAx>
        <c:axId val="40084561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895887"/>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Distance</a:t>
            </a:r>
            <a:r>
              <a:rPr lang="en-US" sz="1600" b="1" baseline="0"/>
              <a:t> Per Customer</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8F-D347-B87D-C6DA90C3FC28}"/>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8F-D347-B87D-C6DA90C3FC28}"/>
            </c:ext>
          </c:extLst>
        </c:ser>
        <c:dLbls>
          <c:showLegendKey val="0"/>
          <c:showVal val="0"/>
          <c:showCatName val="0"/>
          <c:showSerName val="0"/>
          <c:showPercent val="0"/>
          <c:showBubbleSize val="0"/>
        </c:dLbls>
        <c:smooth val="0"/>
        <c:axId val="401496671"/>
        <c:axId val="401449759"/>
      </c:lineChart>
      <c:catAx>
        <c:axId val="40149667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a:t>Commute Distance</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49759"/>
        <c:crosses val="autoZero"/>
        <c:auto val="1"/>
        <c:lblAlgn val="ctr"/>
        <c:lblOffset val="100"/>
        <c:noMultiLvlLbl val="0"/>
      </c:catAx>
      <c:valAx>
        <c:axId val="40144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9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D20E-774C-8B29-29B9E98D632B}"/>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D20E-774C-8B29-29B9E98D632B}"/>
            </c:ext>
          </c:extLst>
        </c:ser>
        <c:dLbls>
          <c:showLegendKey val="0"/>
          <c:showVal val="0"/>
          <c:showCatName val="0"/>
          <c:showSerName val="0"/>
          <c:showPercent val="0"/>
          <c:showBubbleSize val="0"/>
        </c:dLbls>
        <c:marker val="1"/>
        <c:smooth val="0"/>
        <c:axId val="1152106944"/>
        <c:axId val="1152153168"/>
      </c:lineChart>
      <c:catAx>
        <c:axId val="115210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600" b="1"/>
                  <a:t>Age</a:t>
                </a:r>
                <a:r>
                  <a:rPr lang="en-US" sz="1600" b="1" baseline="0"/>
                  <a:t> Bracket</a:t>
                </a:r>
                <a:endParaRPr lang="en-US" sz="16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53168"/>
        <c:crosses val="autoZero"/>
        <c:auto val="1"/>
        <c:lblAlgn val="ctr"/>
        <c:lblOffset val="100"/>
        <c:noMultiLvlLbl val="0"/>
      </c:catAx>
      <c:valAx>
        <c:axId val="115215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10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203200</xdr:colOff>
      <xdr:row>5</xdr:row>
      <xdr:rowOff>12700</xdr:rowOff>
    </xdr:from>
    <xdr:to>
      <xdr:col>9</xdr:col>
      <xdr:colOff>495300</xdr:colOff>
      <xdr:row>25</xdr:row>
      <xdr:rowOff>165100</xdr:rowOff>
    </xdr:to>
    <xdr:graphicFrame macro="">
      <xdr:nvGraphicFramePr>
        <xdr:cNvPr id="2" name="Chart 1">
          <a:extLst>
            <a:ext uri="{FF2B5EF4-FFF2-40B4-BE49-F238E27FC236}">
              <a16:creationId xmlns:a16="http://schemas.microsoft.com/office/drawing/2014/main" id="{46E60E12-D74A-F043-BF5E-AF88BBC38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26</xdr:row>
      <xdr:rowOff>0</xdr:rowOff>
    </xdr:from>
    <xdr:to>
      <xdr:col>13</xdr:col>
      <xdr:colOff>190500</xdr:colOff>
      <xdr:row>46</xdr:row>
      <xdr:rowOff>165100</xdr:rowOff>
    </xdr:to>
    <xdr:graphicFrame macro="">
      <xdr:nvGraphicFramePr>
        <xdr:cNvPr id="3" name="Chart 2">
          <a:extLst>
            <a:ext uri="{FF2B5EF4-FFF2-40B4-BE49-F238E27FC236}">
              <a16:creationId xmlns:a16="http://schemas.microsoft.com/office/drawing/2014/main" id="{C5994437-BADF-1743-A575-14FB6D5C7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520700</xdr:colOff>
      <xdr:row>5</xdr:row>
      <xdr:rowOff>0</xdr:rowOff>
    </xdr:from>
    <xdr:to>
      <xdr:col>17</xdr:col>
      <xdr:colOff>0</xdr:colOff>
      <xdr:row>26</xdr:row>
      <xdr:rowOff>25400</xdr:rowOff>
    </xdr:to>
    <xdr:graphicFrame macro="">
      <xdr:nvGraphicFramePr>
        <xdr:cNvPr id="4" name="Chart 3">
          <a:extLst>
            <a:ext uri="{FF2B5EF4-FFF2-40B4-BE49-F238E27FC236}">
              <a16:creationId xmlns:a16="http://schemas.microsoft.com/office/drawing/2014/main" id="{F8942363-1564-6D4B-A7B9-16A3EE652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177801</xdr:rowOff>
    </xdr:from>
    <xdr:to>
      <xdr:col>2</xdr:col>
      <xdr:colOff>152400</xdr:colOff>
      <xdr:row>9</xdr:row>
      <xdr:rowOff>76201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0D1D143-4926-C18D-8C68-1DD233DEB4E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39801"/>
              <a:ext cx="18034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114300</xdr:rowOff>
    </xdr:from>
    <xdr:to>
      <xdr:col>2</xdr:col>
      <xdr:colOff>76200</xdr:colOff>
      <xdr:row>15</xdr:row>
      <xdr:rowOff>50800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B7501FD-6467-8185-354B-654B61588B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28800"/>
              <a:ext cx="17272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114300</xdr:rowOff>
    </xdr:from>
    <xdr:to>
      <xdr:col>2</xdr:col>
      <xdr:colOff>50800</xdr:colOff>
      <xdr:row>23</xdr:row>
      <xdr:rowOff>139700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04E44A9-7D17-B1BC-E6F0-EF763A8327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71800"/>
              <a:ext cx="1701800" cy="1549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0</xdr:row>
      <xdr:rowOff>101600</xdr:rowOff>
    </xdr:from>
    <xdr:to>
      <xdr:col>11</xdr:col>
      <xdr:colOff>520700</xdr:colOff>
      <xdr:row>19</xdr:row>
      <xdr:rowOff>63500</xdr:rowOff>
    </xdr:to>
    <xdr:graphicFrame macro="">
      <xdr:nvGraphicFramePr>
        <xdr:cNvPr id="7" name="Chart 6">
          <a:extLst>
            <a:ext uri="{FF2B5EF4-FFF2-40B4-BE49-F238E27FC236}">
              <a16:creationId xmlns:a16="http://schemas.microsoft.com/office/drawing/2014/main" id="{413503ED-E14E-FCDC-C709-8B654233F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20</xdr:row>
      <xdr:rowOff>88900</xdr:rowOff>
    </xdr:from>
    <xdr:to>
      <xdr:col>11</xdr:col>
      <xdr:colOff>520700</xdr:colOff>
      <xdr:row>41</xdr:row>
      <xdr:rowOff>63500</xdr:rowOff>
    </xdr:to>
    <xdr:graphicFrame macro="">
      <xdr:nvGraphicFramePr>
        <xdr:cNvPr id="8" name="Chart 7">
          <a:extLst>
            <a:ext uri="{FF2B5EF4-FFF2-40B4-BE49-F238E27FC236}">
              <a16:creationId xmlns:a16="http://schemas.microsoft.com/office/drawing/2014/main" id="{D54C3E78-DACA-524C-8F1D-BBC4849D4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254000</xdr:colOff>
      <xdr:row>42</xdr:row>
      <xdr:rowOff>114300</xdr:rowOff>
    </xdr:from>
    <xdr:to>
      <xdr:col>11</xdr:col>
      <xdr:colOff>533400</xdr:colOff>
      <xdr:row>63</xdr:row>
      <xdr:rowOff>152400</xdr:rowOff>
    </xdr:to>
    <xdr:graphicFrame macro="">
      <xdr:nvGraphicFramePr>
        <xdr:cNvPr id="9" name="Chart 8">
          <a:extLst>
            <a:ext uri="{FF2B5EF4-FFF2-40B4-BE49-F238E27FC236}">
              <a16:creationId xmlns:a16="http://schemas.microsoft.com/office/drawing/2014/main" id="{240D0B0C-7A47-9908-6A7D-1A44E3A30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gna chaudhary" refreshedDate="46127.703434490744" createdVersion="8" refreshedVersion="8" minRefreshableVersion="3" recordCount="1000" xr:uid="{F4120416-14F8-9941-A733-4EE31C19B17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3">
        <s v="Female"/>
        <s v="Male"/>
        <s v="FeMaleale" u="1"/>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313673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2"/>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2"/>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2"/>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2"/>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2"/>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2"/>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2"/>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2"/>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2"/>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2"/>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2"/>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2"/>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2"/>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2"/>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2"/>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2"/>
    <x v="1"/>
  </r>
  <r>
    <n v="29106"/>
    <x v="1"/>
    <x v="1"/>
    <n v="40000"/>
    <n v="0"/>
    <x v="2"/>
    <s v="Skilled Manual"/>
    <s v="No"/>
    <n v="2"/>
    <x v="3"/>
    <x v="2"/>
    <n v="31"/>
    <x v="2"/>
    <x v="1"/>
  </r>
  <r>
    <n v="26236"/>
    <x v="0"/>
    <x v="0"/>
    <n v="40000"/>
    <n v="3"/>
    <x v="1"/>
    <s v="Clerical"/>
    <s v="Yes"/>
    <n v="1"/>
    <x v="0"/>
    <x v="2"/>
    <n v="31"/>
    <x v="2"/>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2"/>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2"/>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2"/>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2"/>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2"/>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2"/>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2"/>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746AF-CB00-614F-9B42-D8DE2EB0E745}" name="PivotTable3" cacheId="2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7:D52"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482967-7D18-FB41-BCC2-8152475AFD3F}" name="PivotTable2" cacheId="2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4">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sortType="ascending">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847BC3-BAD5-784B-8CB2-4C1725415F99}" name="PivotTable1" cacheId="2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0" baseItem="0" numFmtId="165"/>
  </dataFields>
  <formats count="1">
    <format dxfId="40">
      <pivotArea type="all" dataOnly="0" outline="0" fieldPosition="0"/>
    </format>
  </formats>
  <chartFormats count="4">
    <chartFormat chart="16" format="0" series="1">
      <pivotArea type="data" outline="0" fieldPosition="0">
        <references count="2">
          <reference field="4294967294" count="1" selected="0">
            <x v="0"/>
          </reference>
          <reference field="13" count="1" selected="0">
            <x v="0"/>
          </reference>
        </references>
      </pivotArea>
    </chartFormat>
    <chartFormat chart="16" format="1" series="1">
      <pivotArea type="data" outline="0" fieldPosition="0">
        <references count="2">
          <reference field="4294967294" count="1" selected="0">
            <x v="0"/>
          </reference>
          <reference field="13" count="1" selected="0">
            <x v="1"/>
          </reference>
        </references>
      </pivotArea>
    </chartFormat>
    <chartFormat chart="22" format="4" series="1">
      <pivotArea type="data" outline="0" fieldPosition="0">
        <references count="2">
          <reference field="4294967294" count="1" selected="0">
            <x v="0"/>
          </reference>
          <reference field="13" count="1" selected="0">
            <x v="0"/>
          </reference>
        </references>
      </pivotArea>
    </chartFormat>
    <chartFormat chart="2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3A8131-EB10-0145-A0CD-74285775952D}" sourceName="Marital Status">
  <pivotTables>
    <pivotTable tabId="3" name="PivotTable1"/>
    <pivotTable tabId="3" name="PivotTable2"/>
    <pivotTable tabId="3" name="PivotTable3"/>
  </pivotTables>
  <data>
    <tabular pivotCacheId="131367355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2F63EC-4688-B742-85B9-C0C31FE94260}" sourceName="Region">
  <pivotTables>
    <pivotTable tabId="3" name="PivotTable1"/>
    <pivotTable tabId="3" name="PivotTable2"/>
    <pivotTable tabId="3" name="PivotTable3"/>
  </pivotTables>
  <data>
    <tabular pivotCacheId="131367355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969EA1E-5BF1-3844-A943-DE8B10F411F4}" sourceName="Education">
  <pivotTables>
    <pivotTable tabId="3" name="PivotTable1"/>
  </pivotTables>
  <data>
    <tabular pivotCacheId="131367355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E797166-ADC9-934F-A134-591B1944F1AE}" cache="Slicer_Marital_Status" caption="Marital Status" rowHeight="230716"/>
  <slicer name="Region" xr10:uid="{1C185994-313A-E04C-92E8-2DB31AB37814}" cache="Slicer_Region" caption="Region" rowHeight="230716"/>
  <slicer name="Education" xr10:uid="{B5181CC6-5466-C043-91C7-569291411A32}" cache="Slicer_Education" caption="Educat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I1" workbookViewId="0">
      <selection activeCell="N5"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91C1F-AC4A-3B44-9319-6CE2C7B63E2E}">
  <dimension ref="A1:N1001"/>
  <sheetViews>
    <sheetView workbookViewId="0">
      <selection activeCell="E14" sqref="E14"/>
    </sheetView>
  </sheetViews>
  <sheetFormatPr baseColWidth="10" defaultColWidth="11.83203125" defaultRowHeight="15" x14ac:dyDescent="0.2"/>
  <cols>
    <col min="4" max="4" width="11.83203125" style="3"/>
    <col min="14" max="14" width="15.5"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38</v>
      </c>
      <c r="D2" s="3">
        <v>40000</v>
      </c>
      <c r="E2">
        <v>1</v>
      </c>
      <c r="F2" t="s">
        <v>13</v>
      </c>
      <c r="G2" t="s">
        <v>14</v>
      </c>
      <c r="H2" t="s">
        <v>15</v>
      </c>
      <c r="I2">
        <v>0</v>
      </c>
      <c r="J2" t="s">
        <v>16</v>
      </c>
      <c r="K2" t="s">
        <v>17</v>
      </c>
      <c r="L2">
        <v>42</v>
      </c>
      <c r="M2" t="str">
        <f>IF(L2&gt;54,"Old",IF(L2&gt;31,"Middle Age","Adolescent"))</f>
        <v>Middle Age</v>
      </c>
      <c r="N2" t="s">
        <v>18</v>
      </c>
    </row>
    <row r="3" spans="1:14" x14ac:dyDescent="0.2">
      <c r="A3">
        <v>24107</v>
      </c>
      <c r="B3" t="s">
        <v>36</v>
      </c>
      <c r="C3" t="s">
        <v>39</v>
      </c>
      <c r="D3" s="3">
        <v>30000</v>
      </c>
      <c r="E3">
        <v>3</v>
      </c>
      <c r="F3" t="s">
        <v>19</v>
      </c>
      <c r="G3" t="s">
        <v>20</v>
      </c>
      <c r="H3" t="s">
        <v>15</v>
      </c>
      <c r="I3">
        <v>1</v>
      </c>
      <c r="J3" t="s">
        <v>16</v>
      </c>
      <c r="K3" t="s">
        <v>17</v>
      </c>
      <c r="L3">
        <v>43</v>
      </c>
      <c r="M3" t="str">
        <f t="shared" ref="M3:M66" si="0">IF(L3&gt;54,"Old",IF(L3&gt;31,"Middle Age","Adolescent"))</f>
        <v>Middle Age</v>
      </c>
      <c r="N3" t="s">
        <v>18</v>
      </c>
    </row>
    <row r="4" spans="1:14" x14ac:dyDescent="0.2">
      <c r="A4">
        <v>14177</v>
      </c>
      <c r="B4" t="s">
        <v>36</v>
      </c>
      <c r="C4" t="s">
        <v>39</v>
      </c>
      <c r="D4" s="3">
        <v>80000</v>
      </c>
      <c r="E4">
        <v>5</v>
      </c>
      <c r="F4" t="s">
        <v>19</v>
      </c>
      <c r="G4" t="s">
        <v>21</v>
      </c>
      <c r="H4" t="s">
        <v>18</v>
      </c>
      <c r="I4">
        <v>2</v>
      </c>
      <c r="J4" t="s">
        <v>22</v>
      </c>
      <c r="K4" t="s">
        <v>17</v>
      </c>
      <c r="L4">
        <v>60</v>
      </c>
      <c r="M4" t="str">
        <f t="shared" si="0"/>
        <v>Old</v>
      </c>
      <c r="N4" t="s">
        <v>18</v>
      </c>
    </row>
    <row r="5" spans="1:14" x14ac:dyDescent="0.2">
      <c r="A5">
        <v>24381</v>
      </c>
      <c r="B5" t="s">
        <v>37</v>
      </c>
      <c r="C5" t="s">
        <v>39</v>
      </c>
      <c r="D5" s="3">
        <v>70000</v>
      </c>
      <c r="E5">
        <v>0</v>
      </c>
      <c r="F5" t="s">
        <v>13</v>
      </c>
      <c r="G5" t="s">
        <v>21</v>
      </c>
      <c r="H5" t="s">
        <v>15</v>
      </c>
      <c r="I5">
        <v>1</v>
      </c>
      <c r="J5" t="s">
        <v>23</v>
      </c>
      <c r="K5" t="s">
        <v>24</v>
      </c>
      <c r="L5">
        <v>41</v>
      </c>
      <c r="M5" t="str">
        <f t="shared" si="0"/>
        <v>Middle Age</v>
      </c>
      <c r="N5" t="s">
        <v>15</v>
      </c>
    </row>
    <row r="6" spans="1:14" x14ac:dyDescent="0.2">
      <c r="A6">
        <v>25597</v>
      </c>
      <c r="B6" t="s">
        <v>37</v>
      </c>
      <c r="C6" t="s">
        <v>39</v>
      </c>
      <c r="D6" s="3">
        <v>30000</v>
      </c>
      <c r="E6">
        <v>0</v>
      </c>
      <c r="F6" t="s">
        <v>13</v>
      </c>
      <c r="G6" t="s">
        <v>20</v>
      </c>
      <c r="H6" t="s">
        <v>18</v>
      </c>
      <c r="I6">
        <v>0</v>
      </c>
      <c r="J6" t="s">
        <v>16</v>
      </c>
      <c r="K6" t="s">
        <v>17</v>
      </c>
      <c r="L6">
        <v>36</v>
      </c>
      <c r="M6" t="str">
        <f t="shared" si="0"/>
        <v>Middle Age</v>
      </c>
      <c r="N6" t="s">
        <v>15</v>
      </c>
    </row>
    <row r="7" spans="1:14" x14ac:dyDescent="0.2">
      <c r="A7">
        <v>13507</v>
      </c>
      <c r="B7" t="s">
        <v>36</v>
      </c>
      <c r="C7" t="s">
        <v>38</v>
      </c>
      <c r="D7" s="3">
        <v>10000</v>
      </c>
      <c r="E7">
        <v>2</v>
      </c>
      <c r="F7" t="s">
        <v>19</v>
      </c>
      <c r="G7" t="s">
        <v>25</v>
      </c>
      <c r="H7" t="s">
        <v>15</v>
      </c>
      <c r="I7">
        <v>0</v>
      </c>
      <c r="J7" t="s">
        <v>26</v>
      </c>
      <c r="K7" t="s">
        <v>17</v>
      </c>
      <c r="L7">
        <v>50</v>
      </c>
      <c r="M7" t="str">
        <f t="shared" si="0"/>
        <v>Middle Age</v>
      </c>
      <c r="N7" t="s">
        <v>18</v>
      </c>
    </row>
    <row r="8" spans="1:14" x14ac:dyDescent="0.2">
      <c r="A8">
        <v>27974</v>
      </c>
      <c r="B8" t="s">
        <v>37</v>
      </c>
      <c r="C8" t="s">
        <v>39</v>
      </c>
      <c r="D8" s="3">
        <v>160000</v>
      </c>
      <c r="E8">
        <v>2</v>
      </c>
      <c r="F8" t="s">
        <v>27</v>
      </c>
      <c r="G8" t="s">
        <v>28</v>
      </c>
      <c r="H8" t="s">
        <v>15</v>
      </c>
      <c r="I8">
        <v>4</v>
      </c>
      <c r="J8" t="s">
        <v>16</v>
      </c>
      <c r="K8" t="s">
        <v>24</v>
      </c>
      <c r="L8">
        <v>33</v>
      </c>
      <c r="M8" t="str">
        <f t="shared" si="0"/>
        <v>Middle Age</v>
      </c>
      <c r="N8" t="s">
        <v>15</v>
      </c>
    </row>
    <row r="9" spans="1:14" x14ac:dyDescent="0.2">
      <c r="A9">
        <v>19364</v>
      </c>
      <c r="B9" t="s">
        <v>36</v>
      </c>
      <c r="C9" t="s">
        <v>39</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38</v>
      </c>
      <c r="D34" s="3">
        <v>20000</v>
      </c>
      <c r="E34">
        <v>0</v>
      </c>
      <c r="F34" t="s">
        <v>27</v>
      </c>
      <c r="G34" t="s">
        <v>25</v>
      </c>
      <c r="H34" t="s">
        <v>18</v>
      </c>
      <c r="I34">
        <v>1</v>
      </c>
      <c r="J34" t="s">
        <v>23</v>
      </c>
      <c r="K34" t="s">
        <v>17</v>
      </c>
      <c r="L34">
        <v>31</v>
      </c>
      <c r="M34" t="str">
        <f t="shared" si="0"/>
        <v>Adolescent</v>
      </c>
      <c r="N34" t="s">
        <v>18</v>
      </c>
    </row>
    <row r="35" spans="1:14" x14ac:dyDescent="0.2">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39</v>
      </c>
      <c r="D67" s="3">
        <v>30000</v>
      </c>
      <c r="E67">
        <v>2</v>
      </c>
      <c r="F67" t="s">
        <v>19</v>
      </c>
      <c r="G67" t="s">
        <v>20</v>
      </c>
      <c r="H67" t="s">
        <v>15</v>
      </c>
      <c r="I67">
        <v>2</v>
      </c>
      <c r="J67" t="s">
        <v>23</v>
      </c>
      <c r="K67" t="s">
        <v>24</v>
      </c>
      <c r="L67">
        <v>68</v>
      </c>
      <c r="M67" t="str">
        <f t="shared" ref="M67:M130" si="1">IF(L67&gt;54,"Old",IF(L67&gt;31,"Middle Age","Adolescent"))</f>
        <v>Old</v>
      </c>
      <c r="N67" t="s">
        <v>18</v>
      </c>
    </row>
    <row r="68" spans="1:14" x14ac:dyDescent="0.2">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38</v>
      </c>
      <c r="D77" s="3">
        <v>130000</v>
      </c>
      <c r="E77">
        <v>4</v>
      </c>
      <c r="F77" t="s">
        <v>27</v>
      </c>
      <c r="G77" t="s">
        <v>28</v>
      </c>
      <c r="H77" t="s">
        <v>15</v>
      </c>
      <c r="I77">
        <v>4</v>
      </c>
      <c r="J77" t="s">
        <v>16</v>
      </c>
      <c r="K77" t="s">
        <v>24</v>
      </c>
      <c r="L77">
        <v>31</v>
      </c>
      <c r="M77" t="str">
        <f t="shared" si="1"/>
        <v>Adolescent</v>
      </c>
      <c r="N77" t="s">
        <v>18</v>
      </c>
    </row>
    <row r="78" spans="1:14" x14ac:dyDescent="0.2">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38</v>
      </c>
      <c r="D124" s="3">
        <v>80000</v>
      </c>
      <c r="E124">
        <v>0</v>
      </c>
      <c r="F124" t="s">
        <v>13</v>
      </c>
      <c r="G124" t="s">
        <v>21</v>
      </c>
      <c r="H124" t="s">
        <v>18</v>
      </c>
      <c r="I124">
        <v>3</v>
      </c>
      <c r="J124" t="s">
        <v>46</v>
      </c>
      <c r="K124" t="s">
        <v>24</v>
      </c>
      <c r="L124">
        <v>31</v>
      </c>
      <c r="M124" t="str">
        <f t="shared" si="1"/>
        <v>Adolescent</v>
      </c>
      <c r="N124" t="s">
        <v>18</v>
      </c>
    </row>
    <row r="125" spans="1:14" x14ac:dyDescent="0.2">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Age","Adolescent"))</f>
        <v>Middle Age</v>
      </c>
      <c r="N131" t="s">
        <v>15</v>
      </c>
    </row>
    <row r="132" spans="1:14" x14ac:dyDescent="0.2">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Age","Adolescent"))</f>
        <v>Middle Age</v>
      </c>
      <c r="N195" t="s">
        <v>18</v>
      </c>
    </row>
    <row r="196" spans="1:14" x14ac:dyDescent="0.2">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39</v>
      </c>
      <c r="D202" s="3">
        <v>60000</v>
      </c>
      <c r="E202">
        <v>0</v>
      </c>
      <c r="F202" t="s">
        <v>13</v>
      </c>
      <c r="G202" t="s">
        <v>21</v>
      </c>
      <c r="H202" t="s">
        <v>18</v>
      </c>
      <c r="I202">
        <v>3</v>
      </c>
      <c r="J202" t="s">
        <v>22</v>
      </c>
      <c r="K202" t="s">
        <v>24</v>
      </c>
      <c r="L202">
        <v>31</v>
      </c>
      <c r="M202" t="str">
        <f t="shared" si="3"/>
        <v>Adolescent</v>
      </c>
      <c r="N202" t="s">
        <v>18</v>
      </c>
    </row>
    <row r="203" spans="1:14" x14ac:dyDescent="0.2">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39</v>
      </c>
      <c r="D215" s="3">
        <v>70000</v>
      </c>
      <c r="E215">
        <v>0</v>
      </c>
      <c r="F215" t="s">
        <v>13</v>
      </c>
      <c r="G215" t="s">
        <v>21</v>
      </c>
      <c r="H215" t="s">
        <v>18</v>
      </c>
      <c r="I215">
        <v>4</v>
      </c>
      <c r="J215" t="s">
        <v>46</v>
      </c>
      <c r="K215" t="s">
        <v>24</v>
      </c>
      <c r="L215">
        <v>31</v>
      </c>
      <c r="M215" t="str">
        <f t="shared" si="3"/>
        <v>Adolescent</v>
      </c>
      <c r="N215" t="s">
        <v>15</v>
      </c>
    </row>
    <row r="216" spans="1:14" x14ac:dyDescent="0.2">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39</v>
      </c>
      <c r="D254" s="3">
        <v>60000</v>
      </c>
      <c r="E254">
        <v>0</v>
      </c>
      <c r="F254" t="s">
        <v>13</v>
      </c>
      <c r="G254" t="s">
        <v>21</v>
      </c>
      <c r="H254" t="s">
        <v>18</v>
      </c>
      <c r="I254">
        <v>4</v>
      </c>
      <c r="J254" t="s">
        <v>22</v>
      </c>
      <c r="K254" t="s">
        <v>24</v>
      </c>
      <c r="L254">
        <v>31</v>
      </c>
      <c r="M254" t="str">
        <f t="shared" si="3"/>
        <v>Adolescent</v>
      </c>
      <c r="N254" t="s">
        <v>18</v>
      </c>
    </row>
    <row r="255" spans="1:14" x14ac:dyDescent="0.2">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Age","Adolescent"))</f>
        <v>Middle Age</v>
      </c>
      <c r="N259" t="s">
        <v>15</v>
      </c>
    </row>
    <row r="260" spans="1:14" x14ac:dyDescent="0.2">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Age","Adolescent"))</f>
        <v>Middle Age</v>
      </c>
      <c r="N323" t="s">
        <v>15</v>
      </c>
    </row>
    <row r="324" spans="1:14" x14ac:dyDescent="0.2">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39</v>
      </c>
      <c r="D346" s="3">
        <v>30000</v>
      </c>
      <c r="E346">
        <v>0</v>
      </c>
      <c r="F346" t="s">
        <v>19</v>
      </c>
      <c r="G346" t="s">
        <v>20</v>
      </c>
      <c r="H346" t="s">
        <v>18</v>
      </c>
      <c r="I346">
        <v>1</v>
      </c>
      <c r="J346" t="s">
        <v>22</v>
      </c>
      <c r="K346" t="s">
        <v>17</v>
      </c>
      <c r="L346">
        <v>31</v>
      </c>
      <c r="M346" t="str">
        <f t="shared" si="5"/>
        <v>Adolescent</v>
      </c>
      <c r="N346" t="s">
        <v>15</v>
      </c>
    </row>
    <row r="347" spans="1:14" x14ac:dyDescent="0.2">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Age","Adolescent"))</f>
        <v>Middle Age</v>
      </c>
      <c r="N387" t="s">
        <v>18</v>
      </c>
    </row>
    <row r="388" spans="1:14" x14ac:dyDescent="0.2">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38</v>
      </c>
      <c r="D431" s="3">
        <v>30000</v>
      </c>
      <c r="E431">
        <v>0</v>
      </c>
      <c r="F431" t="s">
        <v>19</v>
      </c>
      <c r="G431" t="s">
        <v>20</v>
      </c>
      <c r="H431" t="s">
        <v>15</v>
      </c>
      <c r="I431">
        <v>1</v>
      </c>
      <c r="J431" t="s">
        <v>22</v>
      </c>
      <c r="K431" t="s">
        <v>17</v>
      </c>
      <c r="L431">
        <v>31</v>
      </c>
      <c r="M431" t="str">
        <f t="shared" si="6"/>
        <v>Adolescent</v>
      </c>
      <c r="N431" t="s">
        <v>18</v>
      </c>
    </row>
    <row r="432" spans="1:14" x14ac:dyDescent="0.2">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Age","Adolescent"))</f>
        <v>Middle Age</v>
      </c>
      <c r="N451" t="s">
        <v>18</v>
      </c>
    </row>
    <row r="452" spans="1:14" x14ac:dyDescent="0.2">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39</v>
      </c>
      <c r="D462" s="3">
        <v>20000</v>
      </c>
      <c r="E462">
        <v>0</v>
      </c>
      <c r="F462" t="s">
        <v>29</v>
      </c>
      <c r="G462" t="s">
        <v>25</v>
      </c>
      <c r="H462" t="s">
        <v>15</v>
      </c>
      <c r="I462">
        <v>2</v>
      </c>
      <c r="J462" t="s">
        <v>26</v>
      </c>
      <c r="K462" t="s">
        <v>17</v>
      </c>
      <c r="L462">
        <v>31</v>
      </c>
      <c r="M462" t="str">
        <f t="shared" si="7"/>
        <v>Adolescent</v>
      </c>
      <c r="N462" t="s">
        <v>15</v>
      </c>
    </row>
    <row r="463" spans="1:14" x14ac:dyDescent="0.2">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38</v>
      </c>
      <c r="D486" s="3">
        <v>30000</v>
      </c>
      <c r="E486">
        <v>0</v>
      </c>
      <c r="F486" t="s">
        <v>19</v>
      </c>
      <c r="G486" t="s">
        <v>20</v>
      </c>
      <c r="H486" t="s">
        <v>18</v>
      </c>
      <c r="I486">
        <v>1</v>
      </c>
      <c r="J486" t="s">
        <v>22</v>
      </c>
      <c r="K486" t="s">
        <v>17</v>
      </c>
      <c r="L486">
        <v>31</v>
      </c>
      <c r="M486" t="str">
        <f t="shared" si="7"/>
        <v>Adolescent</v>
      </c>
      <c r="N486" t="s">
        <v>15</v>
      </c>
    </row>
    <row r="487" spans="1:14" x14ac:dyDescent="0.2">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38</v>
      </c>
      <c r="D494" s="3">
        <v>40000</v>
      </c>
      <c r="E494">
        <v>3</v>
      </c>
      <c r="F494" t="s">
        <v>19</v>
      </c>
      <c r="G494" t="s">
        <v>20</v>
      </c>
      <c r="H494" t="s">
        <v>15</v>
      </c>
      <c r="I494">
        <v>1</v>
      </c>
      <c r="J494" t="s">
        <v>26</v>
      </c>
      <c r="K494" t="s">
        <v>32</v>
      </c>
      <c r="L494">
        <v>31</v>
      </c>
      <c r="M494" t="str">
        <f t="shared" si="7"/>
        <v>Adolescent</v>
      </c>
      <c r="N494" t="s">
        <v>15</v>
      </c>
    </row>
    <row r="495" spans="1:14" x14ac:dyDescent="0.2">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38</v>
      </c>
      <c r="D501" s="3">
        <v>40000</v>
      </c>
      <c r="E501">
        <v>0</v>
      </c>
      <c r="F501" t="s">
        <v>27</v>
      </c>
      <c r="G501" t="s">
        <v>14</v>
      </c>
      <c r="H501" t="s">
        <v>18</v>
      </c>
      <c r="I501">
        <v>2</v>
      </c>
      <c r="J501" t="s">
        <v>26</v>
      </c>
      <c r="K501" t="s">
        <v>32</v>
      </c>
      <c r="L501">
        <v>31</v>
      </c>
      <c r="M501" t="str">
        <f t="shared" si="7"/>
        <v>Adolescent</v>
      </c>
      <c r="N501" t="s">
        <v>15</v>
      </c>
    </row>
    <row r="502" spans="1:14" x14ac:dyDescent="0.2">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Age","Adolescent"))</f>
        <v>Old</v>
      </c>
      <c r="N515" t="s">
        <v>15</v>
      </c>
    </row>
    <row r="516" spans="1:14" x14ac:dyDescent="0.2">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38</v>
      </c>
      <c r="D559" s="3">
        <v>40000</v>
      </c>
      <c r="E559">
        <v>3</v>
      </c>
      <c r="F559" t="s">
        <v>19</v>
      </c>
      <c r="G559" t="s">
        <v>20</v>
      </c>
      <c r="H559" t="s">
        <v>15</v>
      </c>
      <c r="I559">
        <v>0</v>
      </c>
      <c r="J559" t="s">
        <v>26</v>
      </c>
      <c r="K559" t="s">
        <v>32</v>
      </c>
      <c r="L559">
        <v>31</v>
      </c>
      <c r="M559" t="str">
        <f t="shared" si="8"/>
        <v>Adolescent</v>
      </c>
      <c r="N559" t="s">
        <v>18</v>
      </c>
    </row>
    <row r="560" spans="1:14" x14ac:dyDescent="0.2">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38</v>
      </c>
      <c r="D578" s="3">
        <v>40000</v>
      </c>
      <c r="E578">
        <v>0</v>
      </c>
      <c r="F578" t="s">
        <v>27</v>
      </c>
      <c r="G578" t="s">
        <v>14</v>
      </c>
      <c r="H578" t="s">
        <v>15</v>
      </c>
      <c r="I578">
        <v>1</v>
      </c>
      <c r="J578" t="s">
        <v>23</v>
      </c>
      <c r="K578" t="s">
        <v>32</v>
      </c>
      <c r="L578">
        <v>31</v>
      </c>
      <c r="M578" t="str">
        <f t="shared" si="8"/>
        <v>Adolescent</v>
      </c>
      <c r="N578" t="s">
        <v>18</v>
      </c>
    </row>
    <row r="579" spans="1:14" x14ac:dyDescent="0.2">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Age","Adolescent"))</f>
        <v>Middle Age</v>
      </c>
      <c r="N579" t="s">
        <v>18</v>
      </c>
    </row>
    <row r="580" spans="1:14" x14ac:dyDescent="0.2">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Age","Adolescent"))</f>
        <v>Old</v>
      </c>
      <c r="N643" t="s">
        <v>18</v>
      </c>
    </row>
    <row r="644" spans="1:14" x14ac:dyDescent="0.2">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39</v>
      </c>
      <c r="D649" s="3">
        <v>40000</v>
      </c>
      <c r="E649">
        <v>0</v>
      </c>
      <c r="F649" t="s">
        <v>27</v>
      </c>
      <c r="G649" t="s">
        <v>14</v>
      </c>
      <c r="H649" t="s">
        <v>15</v>
      </c>
      <c r="I649">
        <v>2</v>
      </c>
      <c r="J649" t="s">
        <v>23</v>
      </c>
      <c r="K649" t="s">
        <v>32</v>
      </c>
      <c r="L649">
        <v>31</v>
      </c>
      <c r="M649" t="str">
        <f t="shared" si="10"/>
        <v>Adolescent</v>
      </c>
      <c r="N649" t="s">
        <v>18</v>
      </c>
    </row>
    <row r="650" spans="1:14" x14ac:dyDescent="0.2">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39</v>
      </c>
      <c r="D655" s="3">
        <v>30000</v>
      </c>
      <c r="E655">
        <v>0</v>
      </c>
      <c r="F655" t="s">
        <v>27</v>
      </c>
      <c r="G655" t="s">
        <v>14</v>
      </c>
      <c r="H655" t="s">
        <v>18</v>
      </c>
      <c r="I655">
        <v>2</v>
      </c>
      <c r="J655" t="s">
        <v>26</v>
      </c>
      <c r="K655" t="s">
        <v>32</v>
      </c>
      <c r="L655">
        <v>31</v>
      </c>
      <c r="M655" t="str">
        <f t="shared" si="10"/>
        <v>Adolescent</v>
      </c>
      <c r="N655" t="s">
        <v>15</v>
      </c>
    </row>
    <row r="656" spans="1:14" x14ac:dyDescent="0.2">
      <c r="A656">
        <v>29106</v>
      </c>
      <c r="B656" t="s">
        <v>37</v>
      </c>
      <c r="C656" t="s">
        <v>39</v>
      </c>
      <c r="D656" s="3">
        <v>40000</v>
      </c>
      <c r="E656">
        <v>0</v>
      </c>
      <c r="F656" t="s">
        <v>27</v>
      </c>
      <c r="G656" t="s">
        <v>14</v>
      </c>
      <c r="H656" t="s">
        <v>18</v>
      </c>
      <c r="I656">
        <v>2</v>
      </c>
      <c r="J656" t="s">
        <v>26</v>
      </c>
      <c r="K656" t="s">
        <v>32</v>
      </c>
      <c r="L656">
        <v>31</v>
      </c>
      <c r="M656" t="str">
        <f t="shared" si="10"/>
        <v>Adolescent</v>
      </c>
      <c r="N656" t="s">
        <v>15</v>
      </c>
    </row>
    <row r="657" spans="1:14" x14ac:dyDescent="0.2">
      <c r="A657">
        <v>26236</v>
      </c>
      <c r="B657" t="s">
        <v>36</v>
      </c>
      <c r="C657" t="s">
        <v>38</v>
      </c>
      <c r="D657" s="3">
        <v>40000</v>
      </c>
      <c r="E657">
        <v>3</v>
      </c>
      <c r="F657" t="s">
        <v>19</v>
      </c>
      <c r="G657" t="s">
        <v>20</v>
      </c>
      <c r="H657" t="s">
        <v>15</v>
      </c>
      <c r="I657">
        <v>1</v>
      </c>
      <c r="J657" t="s">
        <v>16</v>
      </c>
      <c r="K657" t="s">
        <v>32</v>
      </c>
      <c r="L657">
        <v>31</v>
      </c>
      <c r="M657" t="str">
        <f t="shared" si="10"/>
        <v>Adolescent</v>
      </c>
      <c r="N657" t="s">
        <v>18</v>
      </c>
    </row>
    <row r="658" spans="1:14" x14ac:dyDescent="0.2">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Age","Adolescent"))</f>
        <v>Old</v>
      </c>
      <c r="N707" t="s">
        <v>18</v>
      </c>
    </row>
    <row r="708" spans="1:14" x14ac:dyDescent="0.2">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39</v>
      </c>
      <c r="D738" s="3">
        <v>40000</v>
      </c>
      <c r="E738">
        <v>0</v>
      </c>
      <c r="F738" t="s">
        <v>27</v>
      </c>
      <c r="G738" t="s">
        <v>14</v>
      </c>
      <c r="H738" t="s">
        <v>15</v>
      </c>
      <c r="I738">
        <v>1</v>
      </c>
      <c r="J738" t="s">
        <v>23</v>
      </c>
      <c r="K738" t="s">
        <v>32</v>
      </c>
      <c r="L738">
        <v>31</v>
      </c>
      <c r="M738" t="str">
        <f t="shared" si="11"/>
        <v>Adolescent</v>
      </c>
      <c r="N738" t="s">
        <v>18</v>
      </c>
    </row>
    <row r="739" spans="1:14" x14ac:dyDescent="0.2">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Age","Adolescent"))</f>
        <v>Middle Age</v>
      </c>
      <c r="N771" t="s">
        <v>18</v>
      </c>
    </row>
    <row r="772" spans="1:14" x14ac:dyDescent="0.2">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38</v>
      </c>
      <c r="D807" s="3">
        <v>40000</v>
      </c>
      <c r="E807">
        <v>0</v>
      </c>
      <c r="F807" t="s">
        <v>27</v>
      </c>
      <c r="G807" t="s">
        <v>14</v>
      </c>
      <c r="H807" t="s">
        <v>15</v>
      </c>
      <c r="I807">
        <v>2</v>
      </c>
      <c r="J807" t="s">
        <v>23</v>
      </c>
      <c r="K807" t="s">
        <v>32</v>
      </c>
      <c r="L807">
        <v>31</v>
      </c>
      <c r="M807" t="str">
        <f t="shared" si="12"/>
        <v>Adolescent</v>
      </c>
      <c r="N807" t="s">
        <v>18</v>
      </c>
    </row>
    <row r="808" spans="1:14" x14ac:dyDescent="0.2">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39</v>
      </c>
      <c r="D813" s="3">
        <v>60000</v>
      </c>
      <c r="E813">
        <v>0</v>
      </c>
      <c r="F813" t="s">
        <v>19</v>
      </c>
      <c r="G813" t="s">
        <v>14</v>
      </c>
      <c r="H813" t="s">
        <v>18</v>
      </c>
      <c r="I813">
        <v>2</v>
      </c>
      <c r="J813" t="s">
        <v>26</v>
      </c>
      <c r="K813" t="s">
        <v>32</v>
      </c>
      <c r="L813">
        <v>31</v>
      </c>
      <c r="M813" t="str">
        <f t="shared" si="12"/>
        <v>Adolescent</v>
      </c>
      <c r="N813" t="s">
        <v>18</v>
      </c>
    </row>
    <row r="814" spans="1:14" x14ac:dyDescent="0.2">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Age","Adolescent"))</f>
        <v>Middle Age</v>
      </c>
      <c r="N835" t="s">
        <v>15</v>
      </c>
    </row>
    <row r="836" spans="1:14" x14ac:dyDescent="0.2">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38</v>
      </c>
      <c r="D857" s="3">
        <v>30000</v>
      </c>
      <c r="E857">
        <v>0</v>
      </c>
      <c r="F857" t="s">
        <v>19</v>
      </c>
      <c r="G857" t="s">
        <v>14</v>
      </c>
      <c r="H857" t="s">
        <v>18</v>
      </c>
      <c r="I857">
        <v>1</v>
      </c>
      <c r="J857" t="s">
        <v>26</v>
      </c>
      <c r="K857" t="s">
        <v>32</v>
      </c>
      <c r="L857">
        <v>31</v>
      </c>
      <c r="M857" t="str">
        <f t="shared" si="13"/>
        <v>Adolescent</v>
      </c>
      <c r="N857" t="s">
        <v>18</v>
      </c>
    </row>
    <row r="858" spans="1:14" x14ac:dyDescent="0.2">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39</v>
      </c>
      <c r="D866" s="3">
        <v>40000</v>
      </c>
      <c r="E866">
        <v>0</v>
      </c>
      <c r="F866" t="s">
        <v>27</v>
      </c>
      <c r="G866" t="s">
        <v>14</v>
      </c>
      <c r="H866" t="s">
        <v>15</v>
      </c>
      <c r="I866">
        <v>2</v>
      </c>
      <c r="J866" t="s">
        <v>23</v>
      </c>
      <c r="K866" t="s">
        <v>32</v>
      </c>
      <c r="L866">
        <v>31</v>
      </c>
      <c r="M866" t="str">
        <f t="shared" si="13"/>
        <v>Adolescent</v>
      </c>
      <c r="N866" t="s">
        <v>18</v>
      </c>
    </row>
    <row r="867" spans="1:14" x14ac:dyDescent="0.2">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Age","Adolescent"))</f>
        <v>Adolescent</v>
      </c>
      <c r="N899" t="s">
        <v>18</v>
      </c>
    </row>
    <row r="900" spans="1:14" x14ac:dyDescent="0.2">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Age","Adolescent"))</f>
        <v>Old</v>
      </c>
      <c r="N963" t="s">
        <v>18</v>
      </c>
    </row>
    <row r="964" spans="1:14" x14ac:dyDescent="0.2">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38</v>
      </c>
      <c r="D972" s="3">
        <v>60000</v>
      </c>
      <c r="E972">
        <v>0</v>
      </c>
      <c r="F972" t="s">
        <v>19</v>
      </c>
      <c r="G972" t="s">
        <v>14</v>
      </c>
      <c r="H972" t="s">
        <v>15</v>
      </c>
      <c r="I972">
        <v>2</v>
      </c>
      <c r="J972" t="s">
        <v>23</v>
      </c>
      <c r="K972" t="s">
        <v>32</v>
      </c>
      <c r="L972">
        <v>31</v>
      </c>
      <c r="M972" t="str">
        <f t="shared" si="15"/>
        <v>Adolescent</v>
      </c>
      <c r="N972" t="s">
        <v>18</v>
      </c>
    </row>
    <row r="973" spans="1:14" x14ac:dyDescent="0.2">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39</v>
      </c>
      <c r="D981" s="3">
        <v>40000</v>
      </c>
      <c r="E981">
        <v>0</v>
      </c>
      <c r="F981" t="s">
        <v>27</v>
      </c>
      <c r="G981" t="s">
        <v>14</v>
      </c>
      <c r="H981" t="s">
        <v>15</v>
      </c>
      <c r="I981">
        <v>1</v>
      </c>
      <c r="J981" t="s">
        <v>23</v>
      </c>
      <c r="K981" t="s">
        <v>32</v>
      </c>
      <c r="L981">
        <v>31</v>
      </c>
      <c r="M981" t="str">
        <f t="shared" si="15"/>
        <v>Adolescent</v>
      </c>
      <c r="N981" t="s">
        <v>18</v>
      </c>
    </row>
    <row r="982" spans="1:14" x14ac:dyDescent="0.2">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FF91C1F-AC4A-3B44-9319-6CE2C7B63E2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246D3-E6F8-F44D-981D-A220C95612DD}">
  <dimension ref="A1:Q5"/>
  <sheetViews>
    <sheetView showGridLines="0" tabSelected="1" workbookViewId="0">
      <selection activeCell="R33" sqref="R33"/>
    </sheetView>
  </sheetViews>
  <sheetFormatPr baseColWidth="10" defaultRowHeight="15" x14ac:dyDescent="0.2"/>
  <sheetData>
    <row r="1" spans="1:17" ht="15" customHeight="1" x14ac:dyDescent="0.2">
      <c r="A1" s="11" t="s">
        <v>50</v>
      </c>
      <c r="B1" s="11"/>
      <c r="C1" s="11"/>
      <c r="D1" s="11"/>
      <c r="E1" s="11"/>
      <c r="F1" s="11"/>
      <c r="G1" s="11"/>
      <c r="H1" s="11"/>
      <c r="I1" s="11"/>
      <c r="J1" s="11"/>
      <c r="K1" s="11"/>
      <c r="L1" s="11"/>
      <c r="M1" s="11"/>
      <c r="N1" s="11"/>
      <c r="O1" s="11"/>
      <c r="P1" s="11"/>
      <c r="Q1" s="11"/>
    </row>
    <row r="2" spans="1:17" ht="15" customHeight="1" x14ac:dyDescent="0.2">
      <c r="A2" s="11"/>
      <c r="B2" s="11"/>
      <c r="C2" s="11"/>
      <c r="D2" s="11"/>
      <c r="E2" s="11"/>
      <c r="F2" s="11"/>
      <c r="G2" s="11"/>
      <c r="H2" s="11"/>
      <c r="I2" s="11"/>
      <c r="J2" s="11"/>
      <c r="K2" s="11"/>
      <c r="L2" s="11"/>
      <c r="M2" s="11"/>
      <c r="N2" s="11"/>
      <c r="O2" s="11"/>
      <c r="P2" s="11"/>
      <c r="Q2" s="11"/>
    </row>
    <row r="3" spans="1:17" ht="15" customHeight="1" x14ac:dyDescent="0.2">
      <c r="A3" s="11"/>
      <c r="B3" s="11"/>
      <c r="C3" s="11"/>
      <c r="D3" s="11"/>
      <c r="E3" s="11"/>
      <c r="F3" s="11"/>
      <c r="G3" s="11"/>
      <c r="H3" s="11"/>
      <c r="I3" s="11"/>
      <c r="J3" s="11"/>
      <c r="K3" s="11"/>
      <c r="L3" s="11"/>
      <c r="M3" s="11"/>
      <c r="N3" s="11"/>
      <c r="O3" s="11"/>
      <c r="P3" s="11"/>
      <c r="Q3" s="11"/>
    </row>
    <row r="4" spans="1:17" ht="15" customHeight="1" x14ac:dyDescent="0.2">
      <c r="A4" s="11"/>
      <c r="B4" s="11"/>
      <c r="C4" s="11"/>
      <c r="D4" s="11"/>
      <c r="E4" s="11"/>
      <c r="F4" s="11"/>
      <c r="G4" s="11"/>
      <c r="H4" s="11"/>
      <c r="I4" s="11"/>
      <c r="J4" s="11"/>
      <c r="K4" s="11"/>
      <c r="L4" s="11"/>
      <c r="M4" s="11"/>
      <c r="N4" s="11"/>
      <c r="O4" s="11"/>
      <c r="P4" s="11"/>
      <c r="Q4" s="11"/>
    </row>
    <row r="5" spans="1:17" ht="15" customHeight="1" x14ac:dyDescent="0.2">
      <c r="A5" s="11"/>
      <c r="B5" s="11"/>
      <c r="C5" s="11"/>
      <c r="D5" s="11"/>
      <c r="E5" s="11"/>
      <c r="F5" s="11"/>
      <c r="G5" s="11"/>
      <c r="H5" s="11"/>
      <c r="I5" s="11"/>
      <c r="J5" s="11"/>
      <c r="K5" s="11"/>
      <c r="L5" s="11"/>
      <c r="M5" s="11"/>
      <c r="N5" s="11"/>
      <c r="O5" s="11"/>
      <c r="P5" s="11"/>
      <c r="Q5" s="11"/>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DC384-3D8A-F14B-A3A1-838E41BB9EDA}">
  <dimension ref="A1:D52"/>
  <sheetViews>
    <sheetView topLeftCell="A16" workbookViewId="0">
      <selection activeCell="N23" sqref="N23"/>
    </sheetView>
  </sheetViews>
  <sheetFormatPr baseColWidth="10" defaultRowHeight="15" x14ac:dyDescent="0.2"/>
  <cols>
    <col min="1" max="1" width="22.83203125" bestFit="1" customWidth="1"/>
    <col min="2" max="2" width="20.1640625" bestFit="1" customWidth="1"/>
    <col min="3" max="3" width="9.83203125" bestFit="1" customWidth="1"/>
    <col min="4" max="4" width="14.6640625" bestFit="1" customWidth="1"/>
  </cols>
  <sheetData>
    <row r="1" spans="1:4" ht="21" x14ac:dyDescent="0.25">
      <c r="A1" s="6" t="s">
        <v>43</v>
      </c>
      <c r="B1" s="6" t="s">
        <v>44</v>
      </c>
      <c r="C1" s="7"/>
      <c r="D1" s="7"/>
    </row>
    <row r="2" spans="1:4" ht="21" x14ac:dyDescent="0.25">
      <c r="A2" s="6" t="s">
        <v>41</v>
      </c>
      <c r="B2" s="7" t="s">
        <v>18</v>
      </c>
      <c r="C2" s="7" t="s">
        <v>15</v>
      </c>
      <c r="D2" s="7" t="s">
        <v>42</v>
      </c>
    </row>
    <row r="3" spans="1:4" ht="21" x14ac:dyDescent="0.25">
      <c r="A3" s="8" t="s">
        <v>39</v>
      </c>
      <c r="B3" s="9">
        <v>56208.178438661707</v>
      </c>
      <c r="C3" s="9">
        <v>60123.966942148763</v>
      </c>
      <c r="D3" s="9">
        <v>58062.62230919765</v>
      </c>
    </row>
    <row r="4" spans="1:4" ht="21" x14ac:dyDescent="0.25">
      <c r="A4" s="8" t="s">
        <v>38</v>
      </c>
      <c r="B4" s="9">
        <v>53440</v>
      </c>
      <c r="C4" s="9">
        <v>55774.058577405856</v>
      </c>
      <c r="D4" s="9">
        <v>54580.777096114522</v>
      </c>
    </row>
    <row r="5" spans="1:4" ht="21" x14ac:dyDescent="0.25">
      <c r="A5" s="8" t="s">
        <v>42</v>
      </c>
      <c r="B5" s="9">
        <v>54874.759152215796</v>
      </c>
      <c r="C5" s="9">
        <v>57962.577962577961</v>
      </c>
      <c r="D5" s="9">
        <v>56360</v>
      </c>
    </row>
    <row r="23" spans="1:4" x14ac:dyDescent="0.2">
      <c r="A23" s="4" t="s">
        <v>45</v>
      </c>
      <c r="B23" s="4" t="s">
        <v>44</v>
      </c>
    </row>
    <row r="24" spans="1:4" x14ac:dyDescent="0.2">
      <c r="A24" s="4" t="s">
        <v>41</v>
      </c>
      <c r="B24" t="s">
        <v>18</v>
      </c>
      <c r="C24" t="s">
        <v>15</v>
      </c>
      <c r="D24" t="s">
        <v>42</v>
      </c>
    </row>
    <row r="25" spans="1:4" x14ac:dyDescent="0.2">
      <c r="A25" s="5" t="s">
        <v>16</v>
      </c>
      <c r="B25" s="10">
        <v>166</v>
      </c>
      <c r="C25" s="10">
        <v>200</v>
      </c>
      <c r="D25" s="10">
        <v>366</v>
      </c>
    </row>
    <row r="26" spans="1:4" x14ac:dyDescent="0.2">
      <c r="A26" s="5" t="s">
        <v>26</v>
      </c>
      <c r="B26" s="10">
        <v>92</v>
      </c>
      <c r="C26" s="10">
        <v>77</v>
      </c>
      <c r="D26" s="10">
        <v>169</v>
      </c>
    </row>
    <row r="27" spans="1:4" x14ac:dyDescent="0.2">
      <c r="A27" s="5" t="s">
        <v>22</v>
      </c>
      <c r="B27" s="10">
        <v>67</v>
      </c>
      <c r="C27" s="10">
        <v>95</v>
      </c>
      <c r="D27" s="10">
        <v>162</v>
      </c>
    </row>
    <row r="28" spans="1:4" x14ac:dyDescent="0.2">
      <c r="A28" s="5" t="s">
        <v>23</v>
      </c>
      <c r="B28" s="10">
        <v>116</v>
      </c>
      <c r="C28" s="10">
        <v>76</v>
      </c>
      <c r="D28" s="10">
        <v>192</v>
      </c>
    </row>
    <row r="29" spans="1:4" x14ac:dyDescent="0.2">
      <c r="A29" s="5" t="s">
        <v>46</v>
      </c>
      <c r="B29" s="10">
        <v>78</v>
      </c>
      <c r="C29" s="10">
        <v>33</v>
      </c>
      <c r="D29" s="10">
        <v>111</v>
      </c>
    </row>
    <row r="30" spans="1:4" x14ac:dyDescent="0.2">
      <c r="A30" s="5" t="s">
        <v>42</v>
      </c>
      <c r="B30" s="10">
        <v>519</v>
      </c>
      <c r="C30" s="10">
        <v>481</v>
      </c>
      <c r="D30" s="10">
        <v>1000</v>
      </c>
    </row>
    <row r="47" spans="1:4" x14ac:dyDescent="0.2">
      <c r="A47" s="4" t="s">
        <v>45</v>
      </c>
      <c r="B47" s="4" t="s">
        <v>44</v>
      </c>
    </row>
    <row r="48" spans="1:4" x14ac:dyDescent="0.2">
      <c r="A48" s="4" t="s">
        <v>41</v>
      </c>
      <c r="B48" t="s">
        <v>18</v>
      </c>
      <c r="C48" t="s">
        <v>15</v>
      </c>
      <c r="D48" t="s">
        <v>42</v>
      </c>
    </row>
    <row r="49" spans="1:4" x14ac:dyDescent="0.2">
      <c r="A49" s="5" t="s">
        <v>47</v>
      </c>
      <c r="B49" s="10">
        <v>88</v>
      </c>
      <c r="C49" s="10">
        <v>47</v>
      </c>
      <c r="D49" s="10">
        <v>135</v>
      </c>
    </row>
    <row r="50" spans="1:4" x14ac:dyDescent="0.2">
      <c r="A50" s="5" t="s">
        <v>48</v>
      </c>
      <c r="B50" s="10">
        <v>301</v>
      </c>
      <c r="C50" s="10">
        <v>375</v>
      </c>
      <c r="D50" s="10">
        <v>676</v>
      </c>
    </row>
    <row r="51" spans="1:4" x14ac:dyDescent="0.2">
      <c r="A51" s="5" t="s">
        <v>49</v>
      </c>
      <c r="B51" s="10">
        <v>130</v>
      </c>
      <c r="C51" s="10">
        <v>59</v>
      </c>
      <c r="D51" s="10">
        <v>189</v>
      </c>
    </row>
    <row r="52" spans="1:4" x14ac:dyDescent="0.2">
      <c r="A52" s="5" t="s">
        <v>42</v>
      </c>
      <c r="B52" s="10">
        <v>519</v>
      </c>
      <c r="C52" s="10">
        <v>481</v>
      </c>
      <c r="D52" s="10">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Chaudhary, Jigna</cp:lastModifiedBy>
  <dcterms:created xsi:type="dcterms:W3CDTF">2022-03-18T02:50:57Z</dcterms:created>
  <dcterms:modified xsi:type="dcterms:W3CDTF">2026-04-15T23:05:34Z</dcterms:modified>
</cp:coreProperties>
</file>